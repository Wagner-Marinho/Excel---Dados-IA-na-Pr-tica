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e65e4c6fa11932/Documentos/"/>
    </mc:Choice>
  </mc:AlternateContent>
  <xr:revisionPtr revIDLastSave="5" documentId="8_{4AD286F6-C38C-49D3-A14B-C8EEC26A5A9C}" xr6:coauthVersionLast="47" xr6:coauthVersionMax="47" xr10:uidLastSave="{17305EFD-0E83-4700-A895-304FD8849B7B}"/>
  <bookViews>
    <workbookView xWindow="-120" yWindow="-120" windowWidth="29040" windowHeight="15990" xr2:uid="{35EC4399-E41A-4DDF-90C7-7BE7F1E1C020}"/>
  </bookViews>
  <sheets>
    <sheet name="Invest" sheetId="1" r:id="rId1"/>
    <sheet name="Inf." sheetId="2" r:id="rId2"/>
  </sheets>
  <definedNames>
    <definedName name="aporte">Invest!$E$17</definedName>
    <definedName name="patrimonio">Invest!$E$20</definedName>
    <definedName name="qtd_anos">Invest!$E$18</definedName>
    <definedName name="rendimento_carteira">Invest!$E$13</definedName>
    <definedName name="salario">Invest!$E$12</definedName>
    <definedName name="sugestao_investimento">Invest!$E$14</definedName>
    <definedName name="taxa_mensal">Invest!$E$19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1" i="1" l="1"/>
  <c r="D35" i="1"/>
  <c r="C35" i="1"/>
  <c r="C36" i="1"/>
  <c r="D36" i="1" s="1"/>
  <c r="C39" i="1"/>
  <c r="D39" i="1" s="1"/>
  <c r="A4" i="2"/>
  <c r="A5" i="2"/>
  <c r="C37" i="1" s="1"/>
  <c r="D37" i="1" s="1"/>
  <c r="A6" i="2"/>
  <c r="A7" i="2"/>
  <c r="A8" i="2"/>
  <c r="C40" i="1" s="1"/>
  <c r="D40" i="1" s="1"/>
  <c r="A9" i="2"/>
  <c r="A10" i="2"/>
  <c r="A11" i="2"/>
  <c r="A12" i="2"/>
  <c r="A13" i="2"/>
  <c r="A14" i="2"/>
  <c r="A15" i="2"/>
  <c r="A16" i="2"/>
  <c r="A17" i="2"/>
  <c r="A18" i="2"/>
  <c r="A19" i="2"/>
  <c r="A20" i="2"/>
  <c r="A3" i="2"/>
  <c r="D32" i="1"/>
  <c r="E25" i="1"/>
  <c r="E26" i="1"/>
  <c r="E27" i="1"/>
  <c r="E28" i="1"/>
  <c r="E24" i="1"/>
  <c r="D25" i="1"/>
  <c r="D26" i="1"/>
  <c r="D27" i="1"/>
  <c r="D28" i="1"/>
  <c r="D24" i="1"/>
  <c r="E21" i="1"/>
  <c r="E20" i="1"/>
  <c r="E14" i="1"/>
  <c r="C38" i="1" l="1"/>
  <c r="D38" i="1" s="1"/>
</calcChain>
</file>

<file path=xl/sharedStrings.xml><?xml version="1.0" encoding="utf-8"?>
<sst xmlns="http://schemas.openxmlformats.org/spreadsheetml/2006/main" count="69" uniqueCount="33">
  <si>
    <t>INFORMAÇÕES</t>
  </si>
  <si>
    <t>Salário</t>
  </si>
  <si>
    <t>Rendimento Carteira</t>
  </si>
  <si>
    <t>Sugestão de Investimento (30%)</t>
  </si>
  <si>
    <t>INVESTIMENTO MENSAL</t>
  </si>
  <si>
    <t>Qaunto Investir por Mês?</t>
  </si>
  <si>
    <t>Por Quantos Anos?</t>
  </si>
  <si>
    <t>Taxa de Rendimento Mensal?</t>
  </si>
  <si>
    <t>Patrimônio Acumulado?</t>
  </si>
  <si>
    <t>Dividendo Mensais?</t>
  </si>
  <si>
    <t>TEMPO (ANOS)</t>
  </si>
  <si>
    <t>DIVIDENDO</t>
  </si>
  <si>
    <t>Quantos em 2 anos?</t>
  </si>
  <si>
    <t>Quantos em 5 anos?</t>
  </si>
  <si>
    <t>Quantos em 10 anos?</t>
  </si>
  <si>
    <t>Quantos em 20 anos?</t>
  </si>
  <si>
    <t>Quantos em 30 anos?</t>
  </si>
  <si>
    <t>Chave</t>
  </si>
  <si>
    <t>Perfil</t>
  </si>
  <si>
    <t>Tipo de FII</t>
  </si>
  <si>
    <t>%</t>
  </si>
  <si>
    <t>Agressivo</t>
  </si>
  <si>
    <t>Moderado</t>
  </si>
  <si>
    <t>Conservador</t>
  </si>
  <si>
    <t>PAPEL</t>
  </si>
  <si>
    <t>TIJOLO</t>
  </si>
  <si>
    <t>HIBRIDO</t>
  </si>
  <si>
    <t>FOFs</t>
  </si>
  <si>
    <t>DESENVOLVIMENTO</t>
  </si>
  <si>
    <t>Valor a ser investido por mês</t>
  </si>
  <si>
    <t>Percentual sugerido</t>
  </si>
  <si>
    <t>Valores</t>
  </si>
  <si>
    <t>HOTELARIAS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</si>
</sst>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0"/>
      <name val="Times New Roman"/>
      <family val="1"/>
    </font>
    <font>
      <b/>
      <sz val="16"/>
      <color theme="1"/>
      <name val="Times New Roman"/>
      <family val="1"/>
    </font>
    <font>
      <sz val="12"/>
      <color theme="0"/>
      <name val="Times New Roman"/>
      <family val="1"/>
    </font>
    <font>
      <b/>
      <sz val="14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9" fontId="2" fillId="0" borderId="7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9" fontId="2" fillId="0" borderId="9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10" fontId="2" fillId="0" borderId="7" xfId="0" applyNumberFormat="1" applyFont="1" applyBorder="1" applyAlignment="1">
      <alignment vertical="center"/>
    </xf>
    <xf numFmtId="44" fontId="2" fillId="0" borderId="7" xfId="1" applyFont="1" applyBorder="1" applyAlignment="1">
      <alignment vertical="center"/>
    </xf>
    <xf numFmtId="44" fontId="2" fillId="0" borderId="9" xfId="1" applyFont="1" applyBorder="1" applyAlignment="1">
      <alignment vertical="center"/>
    </xf>
    <xf numFmtId="0" fontId="4" fillId="4" borderId="1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44" fontId="2" fillId="0" borderId="12" xfId="1" applyFont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2" fillId="5" borderId="0" xfId="0" applyFont="1" applyFill="1" applyAlignment="1">
      <alignment vertical="center"/>
    </xf>
    <xf numFmtId="44" fontId="2" fillId="5" borderId="0" xfId="1" applyFont="1" applyFill="1" applyBorder="1" applyAlignment="1">
      <alignment vertical="center"/>
    </xf>
    <xf numFmtId="44" fontId="2" fillId="5" borderId="11" xfId="1" applyFont="1" applyFill="1" applyBorder="1" applyAlignment="1">
      <alignment vertical="center"/>
    </xf>
    <xf numFmtId="0" fontId="2" fillId="5" borderId="8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44" fontId="2" fillId="5" borderId="1" xfId="1" applyFont="1" applyFill="1" applyBorder="1" applyAlignment="1">
      <alignment vertical="center"/>
    </xf>
    <xf numFmtId="44" fontId="2" fillId="5" borderId="12" xfId="1" applyFont="1" applyFill="1" applyBorder="1" applyAlignment="1">
      <alignment vertical="center"/>
    </xf>
    <xf numFmtId="8" fontId="2" fillId="5" borderId="7" xfId="0" applyNumberFormat="1" applyFont="1" applyFill="1" applyBorder="1" applyAlignment="1">
      <alignment vertical="center"/>
    </xf>
    <xf numFmtId="44" fontId="2" fillId="5" borderId="9" xfId="1" applyFont="1" applyFill="1" applyBorder="1" applyAlignment="1">
      <alignment vertical="center"/>
    </xf>
    <xf numFmtId="0" fontId="6" fillId="6" borderId="3" xfId="0" applyFont="1" applyFill="1" applyBorder="1" applyAlignment="1">
      <alignment vertical="center"/>
    </xf>
    <xf numFmtId="0" fontId="6" fillId="6" borderId="4" xfId="0" applyFont="1" applyFill="1" applyBorder="1" applyAlignment="1">
      <alignment vertical="center"/>
    </xf>
    <xf numFmtId="0" fontId="2" fillId="6" borderId="10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9" fontId="2" fillId="0" borderId="0" xfId="2" applyFont="1" applyBorder="1" applyAlignment="1">
      <alignment vertical="center"/>
    </xf>
    <xf numFmtId="0" fontId="2" fillId="0" borderId="8" xfId="0" applyFont="1" applyBorder="1" applyAlignment="1">
      <alignment horizontal="center"/>
    </xf>
    <xf numFmtId="9" fontId="2" fillId="0" borderId="1" xfId="2" applyFont="1" applyBorder="1" applyAlignment="1">
      <alignment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44" fontId="2" fillId="5" borderId="7" xfId="0" applyNumberFormat="1" applyFont="1" applyFill="1" applyBorder="1" applyAlignment="1">
      <alignment vertical="center"/>
    </xf>
    <xf numFmtId="44" fontId="2" fillId="5" borderId="9" xfId="0" applyNumberFormat="1" applyFont="1" applyFill="1" applyBorder="1" applyAlignment="1">
      <alignment vertical="center"/>
    </xf>
    <xf numFmtId="44" fontId="2" fillId="5" borderId="2" xfId="0" applyNumberFormat="1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C9C-402A-BE50-A54FF4AB6F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C9C-402A-BE50-A54FF4AB6F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C9C-402A-BE50-A54FF4AB6F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C9C-402A-BE50-A54FF4AB6F6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C9C-402A-BE50-A54FF4AB6F6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C9C-402A-BE50-A54FF4AB6F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Invest!$B$35:$B$40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Invest!$C$35:$C$40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6-47F4-B739-CA247C56EED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  <a:scene3d>
      <a:camera prst="orthographicFront"/>
      <a:lightRig rig="threePt" dir="t"/>
    </a:scene3d>
    <a:sp3d>
      <a:bevelT w="165100" prst="coolSlant"/>
    </a:sp3d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52387</xdr:rowOff>
    </xdr:from>
    <xdr:to>
      <xdr:col>3</xdr:col>
      <xdr:colOff>895350</xdr:colOff>
      <xdr:row>56</xdr:row>
      <xdr:rowOff>195262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D138A77-F712-D3C3-97B4-2D5C1C54D6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1381125</xdr:colOff>
      <xdr:row>0</xdr:row>
      <xdr:rowOff>133350</xdr:rowOff>
    </xdr:from>
    <xdr:to>
      <xdr:col>3</xdr:col>
      <xdr:colOff>714375</xdr:colOff>
      <xdr:row>9</xdr:row>
      <xdr:rowOff>26194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108AE87-8F86-D3AE-12A3-40890E5F4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133350"/>
          <a:ext cx="3009900" cy="1693069"/>
        </a:xfrm>
        <a:prstGeom prst="rect">
          <a:avLst/>
        </a:prstGeom>
        <a:scene3d>
          <a:camera prst="orthographicFront"/>
          <a:lightRig rig="threePt" dir="t"/>
        </a:scene3d>
        <a:sp3d>
          <a:bevelT w="165100" prst="coolSlant"/>
        </a:sp3d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226D1-9954-4C81-A419-E3628F522A99}">
  <dimension ref="A10:E41"/>
  <sheetViews>
    <sheetView showGridLines="0" tabSelected="1" workbookViewId="0">
      <selection activeCell="E6" sqref="E6"/>
    </sheetView>
  </sheetViews>
  <sheetFormatPr defaultRowHeight="15.75" x14ac:dyDescent="0.25"/>
  <cols>
    <col min="1" max="1" width="9.140625" style="16"/>
    <col min="2" max="2" width="30.140625" style="3" bestFit="1" customWidth="1"/>
    <col min="3" max="3" width="25" style="3" bestFit="1" customWidth="1"/>
    <col min="4" max="4" width="16.28515625" style="3" bestFit="1" customWidth="1"/>
    <col min="5" max="5" width="18.5703125" style="3" bestFit="1" customWidth="1"/>
    <col min="6" max="16384" width="9.140625" style="3"/>
  </cols>
  <sheetData>
    <row r="10" spans="2:5" ht="16.5" thickBot="1" x14ac:dyDescent="0.3"/>
    <row r="11" spans="2:5" ht="20.25" x14ac:dyDescent="0.25">
      <c r="B11" s="43" t="s">
        <v>0</v>
      </c>
      <c r="C11" s="44"/>
      <c r="D11" s="44"/>
      <c r="E11" s="45"/>
    </row>
    <row r="12" spans="2:5" x14ac:dyDescent="0.25">
      <c r="B12" s="6" t="s">
        <v>1</v>
      </c>
      <c r="E12" s="13">
        <v>1700</v>
      </c>
    </row>
    <row r="13" spans="2:5" x14ac:dyDescent="0.25">
      <c r="B13" s="6" t="s">
        <v>2</v>
      </c>
      <c r="E13" s="12">
        <v>1.03E-2</v>
      </c>
    </row>
    <row r="14" spans="2:5" ht="16.5" thickBot="1" x14ac:dyDescent="0.3">
      <c r="B14" s="9" t="s">
        <v>3</v>
      </c>
      <c r="C14" s="4"/>
      <c r="D14" s="4"/>
      <c r="E14" s="14">
        <f>E12*30%</f>
        <v>510</v>
      </c>
    </row>
    <row r="15" spans="2:5" ht="16.5" thickBot="1" x14ac:dyDescent="0.3"/>
    <row r="16" spans="2:5" ht="20.25" x14ac:dyDescent="0.25">
      <c r="B16" s="46" t="s">
        <v>4</v>
      </c>
      <c r="C16" s="47"/>
      <c r="D16" s="47"/>
      <c r="E16" s="48"/>
    </row>
    <row r="17" spans="1:5" x14ac:dyDescent="0.25">
      <c r="B17" s="6" t="s">
        <v>5</v>
      </c>
      <c r="E17" s="13">
        <v>200</v>
      </c>
    </row>
    <row r="18" spans="1:5" x14ac:dyDescent="0.25">
      <c r="B18" s="6" t="s">
        <v>6</v>
      </c>
      <c r="E18" s="11">
        <v>5</v>
      </c>
    </row>
    <row r="19" spans="1:5" x14ac:dyDescent="0.25">
      <c r="B19" s="6" t="s">
        <v>7</v>
      </c>
      <c r="E19" s="12">
        <v>1.04E-2</v>
      </c>
    </row>
    <row r="20" spans="1:5" x14ac:dyDescent="0.25">
      <c r="B20" s="18" t="s">
        <v>8</v>
      </c>
      <c r="C20" s="19"/>
      <c r="D20" s="19"/>
      <c r="E20" s="26">
        <f>FV(taxa_mensal,qtd_anos*12,aporte*-1)</f>
        <v>16545.653147356134</v>
      </c>
    </row>
    <row r="21" spans="1:5" ht="16.5" thickBot="1" x14ac:dyDescent="0.3">
      <c r="B21" s="22" t="s">
        <v>9</v>
      </c>
      <c r="C21" s="23"/>
      <c r="D21" s="23"/>
      <c r="E21" s="27">
        <f>patrimonio*rendimento_carteira</f>
        <v>170.42022741776819</v>
      </c>
    </row>
    <row r="22" spans="1:5" ht="16.5" thickBot="1" x14ac:dyDescent="0.3"/>
    <row r="23" spans="1:5" ht="20.25" x14ac:dyDescent="0.25">
      <c r="B23" s="46" t="s">
        <v>10</v>
      </c>
      <c r="C23" s="47"/>
      <c r="D23" s="47"/>
      <c r="E23" s="15" t="s">
        <v>11</v>
      </c>
    </row>
    <row r="24" spans="1:5" x14ac:dyDescent="0.25">
      <c r="A24" s="16">
        <v>2</v>
      </c>
      <c r="B24" s="18" t="s">
        <v>12</v>
      </c>
      <c r="C24" s="19"/>
      <c r="D24" s="20">
        <f>FV(taxa_mensal,A24*12,aporte*-1)</f>
        <v>5420.3565409998973</v>
      </c>
      <c r="E24" s="21">
        <f>D24*rendimento_carteira</f>
        <v>55.829672372298944</v>
      </c>
    </row>
    <row r="25" spans="1:5" x14ac:dyDescent="0.25">
      <c r="A25" s="16">
        <v>5</v>
      </c>
      <c r="B25" s="18" t="s">
        <v>13</v>
      </c>
      <c r="C25" s="19"/>
      <c r="D25" s="20">
        <f>FV(taxa_mensal,A25*12,aporte*-1)</f>
        <v>16545.653147356134</v>
      </c>
      <c r="E25" s="21">
        <f>D25*rendimento_carteira</f>
        <v>170.42022741776819</v>
      </c>
    </row>
    <row r="26" spans="1:5" x14ac:dyDescent="0.25">
      <c r="A26" s="16">
        <v>10</v>
      </c>
      <c r="B26" s="18" t="s">
        <v>14</v>
      </c>
      <c r="C26" s="19"/>
      <c r="D26" s="20">
        <f>FV(taxa_mensal,A26*12,aporte*-1)</f>
        <v>47326.755474488302</v>
      </c>
      <c r="E26" s="21">
        <f>D26*rendimento_carteira</f>
        <v>487.46558138722952</v>
      </c>
    </row>
    <row r="27" spans="1:5" x14ac:dyDescent="0.25">
      <c r="A27" s="16">
        <v>20</v>
      </c>
      <c r="B27" s="18" t="s">
        <v>15</v>
      </c>
      <c r="C27" s="19"/>
      <c r="D27" s="20">
        <f>FV(taxa_mensal,A27*12,aporte*-1)</f>
        <v>211124.24370356102</v>
      </c>
      <c r="E27" s="21">
        <f>D27*rendimento_carteira</f>
        <v>2174.5797101466787</v>
      </c>
    </row>
    <row r="28" spans="1:5" ht="16.5" thickBot="1" x14ac:dyDescent="0.3">
      <c r="A28" s="16">
        <v>30</v>
      </c>
      <c r="B28" s="22" t="s">
        <v>16</v>
      </c>
      <c r="C28" s="23"/>
      <c r="D28" s="24">
        <f>FV(taxa_mensal,A28*12,aporte*-1)</f>
        <v>778025.92291577416</v>
      </c>
      <c r="E28" s="25">
        <f>D28*rendimento_carteira</f>
        <v>8013.6670060324741</v>
      </c>
    </row>
    <row r="30" spans="1:5" ht="16.5" thickBot="1" x14ac:dyDescent="0.3"/>
    <row r="31" spans="1:5" ht="18.75" x14ac:dyDescent="0.25">
      <c r="B31" s="28" t="s">
        <v>18</v>
      </c>
      <c r="C31" s="29"/>
      <c r="D31" s="30" t="s">
        <v>21</v>
      </c>
    </row>
    <row r="32" spans="1:5" ht="16.5" thickBot="1" x14ac:dyDescent="0.3">
      <c r="B32" s="9" t="s">
        <v>29</v>
      </c>
      <c r="C32" s="4"/>
      <c r="D32" s="17">
        <f>aporte</f>
        <v>200</v>
      </c>
    </row>
    <row r="33" spans="2:4" ht="16.5" thickBot="1" x14ac:dyDescent="0.3"/>
    <row r="34" spans="2:4" ht="18.75" x14ac:dyDescent="0.25">
      <c r="B34" s="35" t="s">
        <v>19</v>
      </c>
      <c r="C34" s="36" t="s">
        <v>30</v>
      </c>
      <c r="D34" s="37" t="s">
        <v>31</v>
      </c>
    </row>
    <row r="35" spans="2:4" x14ac:dyDescent="0.25">
      <c r="B35" s="31" t="s">
        <v>24</v>
      </c>
      <c r="C35" s="32">
        <f>VLOOKUP($D$31&amp;"-"&amp;B35,Inf.!$A:$D,4,FALSE)</f>
        <v>0.5</v>
      </c>
      <c r="D35" s="38">
        <f>C35*$D$32</f>
        <v>100</v>
      </c>
    </row>
    <row r="36" spans="2:4" x14ac:dyDescent="0.25">
      <c r="B36" s="31" t="s">
        <v>25</v>
      </c>
      <c r="C36" s="32">
        <f>VLOOKUP($D$31&amp;"-"&amp;B36,Inf.!$A:$D,4,FALSE)</f>
        <v>0.1</v>
      </c>
      <c r="D36" s="38">
        <f t="shared" ref="D36:D40" si="0">C36*$D$32</f>
        <v>20</v>
      </c>
    </row>
    <row r="37" spans="2:4" x14ac:dyDescent="0.25">
      <c r="B37" s="31" t="s">
        <v>26</v>
      </c>
      <c r="C37" s="32">
        <f>VLOOKUP($D$31&amp;"-"&amp;B37,Inf.!$A:$D,4,FALSE)</f>
        <v>0.05</v>
      </c>
      <c r="D37" s="38">
        <f t="shared" si="0"/>
        <v>10</v>
      </c>
    </row>
    <row r="38" spans="2:4" x14ac:dyDescent="0.25">
      <c r="B38" s="31" t="s">
        <v>27</v>
      </c>
      <c r="C38" s="32">
        <f>VLOOKUP($D$31&amp;"-"&amp;B38,Inf.!$A:$D,4,FALSE)</f>
        <v>0.05</v>
      </c>
      <c r="D38" s="38">
        <f t="shared" si="0"/>
        <v>10</v>
      </c>
    </row>
    <row r="39" spans="2:4" x14ac:dyDescent="0.25">
      <c r="B39" s="31" t="s">
        <v>28</v>
      </c>
      <c r="C39" s="32">
        <f>VLOOKUP($D$31&amp;"-"&amp;B39,Inf.!$A:$D,4,FALSE)</f>
        <v>0.2</v>
      </c>
      <c r="D39" s="38">
        <f t="shared" si="0"/>
        <v>40</v>
      </c>
    </row>
    <row r="40" spans="2:4" ht="16.5" thickBot="1" x14ac:dyDescent="0.3">
      <c r="B40" s="33" t="s">
        <v>32</v>
      </c>
      <c r="C40" s="34">
        <f>VLOOKUP($D$31&amp;"-"&amp;B40,Inf.!$A:$D,4,FALSE)</f>
        <v>0.1</v>
      </c>
      <c r="D40" s="39">
        <f t="shared" si="0"/>
        <v>20</v>
      </c>
    </row>
    <row r="41" spans="2:4" ht="16.5" thickBot="1" x14ac:dyDescent="0.3">
      <c r="D41" s="40">
        <f>SUM(D35:D40)</f>
        <v>200</v>
      </c>
    </row>
  </sheetData>
  <mergeCells count="3">
    <mergeCell ref="B11:E11"/>
    <mergeCell ref="B16:E16"/>
    <mergeCell ref="B23:D23"/>
  </mergeCells>
  <dataValidations count="1">
    <dataValidation type="list" allowBlank="1" showInputMessage="1" showErrorMessage="1" sqref="D31" xr:uid="{D17E5040-1BD7-410E-901F-77C1D32F668C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28293-F230-4162-A32F-1BA6FBA7CAD7}">
  <dimension ref="A1:D20"/>
  <sheetViews>
    <sheetView showGridLines="0" workbookViewId="0">
      <selection activeCell="I16" sqref="I16"/>
    </sheetView>
  </sheetViews>
  <sheetFormatPr defaultRowHeight="15.75" x14ac:dyDescent="0.25"/>
  <cols>
    <col min="1" max="1" width="37.140625" style="1" bestFit="1" customWidth="1"/>
    <col min="2" max="2" width="13.7109375" style="1" customWidth="1"/>
    <col min="3" max="3" width="23.42578125" style="1" bestFit="1" customWidth="1"/>
    <col min="4" max="4" width="11.5703125" style="1" customWidth="1"/>
    <col min="5" max="16384" width="9.140625" style="1"/>
  </cols>
  <sheetData>
    <row r="1" spans="1:4" ht="16.5" thickBot="1" x14ac:dyDescent="0.3"/>
    <row r="2" spans="1:4" ht="18.75" x14ac:dyDescent="0.25">
      <c r="A2" s="5" t="s">
        <v>17</v>
      </c>
      <c r="B2" s="41" t="s">
        <v>18</v>
      </c>
      <c r="C2" s="41" t="s">
        <v>19</v>
      </c>
      <c r="D2" s="42" t="s">
        <v>20</v>
      </c>
    </row>
    <row r="3" spans="1:4" x14ac:dyDescent="0.25">
      <c r="A3" s="6" t="str">
        <f>B3&amp;"-"&amp;C3</f>
        <v>Conservador-PAPEL</v>
      </c>
      <c r="B3" s="7" t="s">
        <v>23</v>
      </c>
      <c r="C3" s="7" t="s">
        <v>24</v>
      </c>
      <c r="D3" s="8">
        <v>0.3</v>
      </c>
    </row>
    <row r="4" spans="1:4" x14ac:dyDescent="0.25">
      <c r="A4" s="6" t="str">
        <f t="shared" ref="A4:A20" si="0">B4&amp;"-"&amp;C4</f>
        <v>Conservador-TIJOLO</v>
      </c>
      <c r="B4" s="7" t="s">
        <v>23</v>
      </c>
      <c r="C4" s="7" t="s">
        <v>25</v>
      </c>
      <c r="D4" s="8">
        <v>0.5</v>
      </c>
    </row>
    <row r="5" spans="1:4" x14ac:dyDescent="0.25">
      <c r="A5" s="6" t="str">
        <f t="shared" si="0"/>
        <v>Conservador-HIBRIDO</v>
      </c>
      <c r="B5" s="7" t="s">
        <v>23</v>
      </c>
      <c r="C5" s="7" t="s">
        <v>26</v>
      </c>
      <c r="D5" s="8">
        <v>0.1</v>
      </c>
    </row>
    <row r="6" spans="1:4" x14ac:dyDescent="0.25">
      <c r="A6" s="6" t="str">
        <f t="shared" si="0"/>
        <v>Conservador-FOFs</v>
      </c>
      <c r="B6" s="7" t="s">
        <v>23</v>
      </c>
      <c r="C6" s="7" t="s">
        <v>27</v>
      </c>
      <c r="D6" s="8">
        <v>0.1</v>
      </c>
    </row>
    <row r="7" spans="1:4" x14ac:dyDescent="0.25">
      <c r="A7" s="6" t="str">
        <f t="shared" si="0"/>
        <v>Conservador-DESENVOLVIMENTO</v>
      </c>
      <c r="B7" s="7" t="s">
        <v>23</v>
      </c>
      <c r="C7" s="7" t="s">
        <v>28</v>
      </c>
      <c r="D7" s="8">
        <v>0</v>
      </c>
    </row>
    <row r="8" spans="1:4" ht="16.5" thickBot="1" x14ac:dyDescent="0.3">
      <c r="A8" s="9" t="str">
        <f t="shared" si="0"/>
        <v>Conservador-HOTELARIAS</v>
      </c>
      <c r="B8" s="2" t="s">
        <v>23</v>
      </c>
      <c r="C8" s="2" t="s">
        <v>32</v>
      </c>
      <c r="D8" s="10">
        <v>0</v>
      </c>
    </row>
    <row r="9" spans="1:4" x14ac:dyDescent="0.25">
      <c r="A9" s="6" t="str">
        <f t="shared" si="0"/>
        <v>Moderado-PAPEL</v>
      </c>
      <c r="B9" s="7" t="s">
        <v>22</v>
      </c>
      <c r="C9" s="7" t="s">
        <v>24</v>
      </c>
      <c r="D9" s="8">
        <v>0.32</v>
      </c>
    </row>
    <row r="10" spans="1:4" x14ac:dyDescent="0.25">
      <c r="A10" s="6" t="str">
        <f t="shared" si="0"/>
        <v>Moderado-TIJOLO</v>
      </c>
      <c r="B10" s="7" t="s">
        <v>22</v>
      </c>
      <c r="C10" s="7" t="s">
        <v>25</v>
      </c>
      <c r="D10" s="8">
        <v>0.35</v>
      </c>
    </row>
    <row r="11" spans="1:4" x14ac:dyDescent="0.25">
      <c r="A11" s="6" t="str">
        <f t="shared" si="0"/>
        <v>Moderado-HIBRIDO</v>
      </c>
      <c r="B11" s="7" t="s">
        <v>22</v>
      </c>
      <c r="C11" s="7" t="s">
        <v>26</v>
      </c>
      <c r="D11" s="8">
        <v>0.08</v>
      </c>
    </row>
    <row r="12" spans="1:4" x14ac:dyDescent="0.25">
      <c r="A12" s="6" t="str">
        <f t="shared" si="0"/>
        <v>Moderado-FOFs</v>
      </c>
      <c r="B12" s="7" t="s">
        <v>22</v>
      </c>
      <c r="C12" s="7" t="s">
        <v>27</v>
      </c>
      <c r="D12" s="8">
        <v>0.05</v>
      </c>
    </row>
    <row r="13" spans="1:4" x14ac:dyDescent="0.25">
      <c r="A13" s="6" t="str">
        <f t="shared" si="0"/>
        <v>Moderado-DESENVOLVIMENTO</v>
      </c>
      <c r="B13" s="7" t="s">
        <v>22</v>
      </c>
      <c r="C13" s="7" t="s">
        <v>28</v>
      </c>
      <c r="D13" s="8">
        <v>0.1</v>
      </c>
    </row>
    <row r="14" spans="1:4" ht="16.5" thickBot="1" x14ac:dyDescent="0.3">
      <c r="A14" s="9" t="str">
        <f t="shared" si="0"/>
        <v>Moderado-HOTELARIAS</v>
      </c>
      <c r="B14" s="2" t="s">
        <v>22</v>
      </c>
      <c r="C14" s="2" t="s">
        <v>32</v>
      </c>
      <c r="D14" s="10">
        <v>0.1</v>
      </c>
    </row>
    <row r="15" spans="1:4" x14ac:dyDescent="0.25">
      <c r="A15" s="6" t="str">
        <f t="shared" si="0"/>
        <v>Agressivo-PAPEL</v>
      </c>
      <c r="B15" s="7" t="s">
        <v>21</v>
      </c>
      <c r="C15" s="7" t="s">
        <v>24</v>
      </c>
      <c r="D15" s="8">
        <v>0.5</v>
      </c>
    </row>
    <row r="16" spans="1:4" x14ac:dyDescent="0.25">
      <c r="A16" s="6" t="str">
        <f t="shared" si="0"/>
        <v>Agressivo-TIJOLO</v>
      </c>
      <c r="B16" s="7" t="s">
        <v>21</v>
      </c>
      <c r="C16" s="7" t="s">
        <v>25</v>
      </c>
      <c r="D16" s="8">
        <v>0.1</v>
      </c>
    </row>
    <row r="17" spans="1:4" x14ac:dyDescent="0.25">
      <c r="A17" s="6" t="str">
        <f t="shared" si="0"/>
        <v>Agressivo-HIBRIDO</v>
      </c>
      <c r="B17" s="7" t="s">
        <v>21</v>
      </c>
      <c r="C17" s="7" t="s">
        <v>26</v>
      </c>
      <c r="D17" s="8">
        <v>0.05</v>
      </c>
    </row>
    <row r="18" spans="1:4" x14ac:dyDescent="0.25">
      <c r="A18" s="6" t="str">
        <f t="shared" si="0"/>
        <v>Agressivo-FOFs</v>
      </c>
      <c r="B18" s="7" t="s">
        <v>21</v>
      </c>
      <c r="C18" s="7" t="s">
        <v>27</v>
      </c>
      <c r="D18" s="8">
        <v>0.05</v>
      </c>
    </row>
    <row r="19" spans="1:4" x14ac:dyDescent="0.25">
      <c r="A19" s="6" t="str">
        <f t="shared" si="0"/>
        <v>Agressivo-DESENVOLVIMENTO</v>
      </c>
      <c r="B19" s="7" t="s">
        <v>21</v>
      </c>
      <c r="C19" s="7" t="s">
        <v>28</v>
      </c>
      <c r="D19" s="8">
        <v>0.2</v>
      </c>
    </row>
    <row r="20" spans="1:4" ht="16.5" thickBot="1" x14ac:dyDescent="0.3">
      <c r="A20" s="9" t="str">
        <f t="shared" si="0"/>
        <v>Agressivo-HOTELARIAS</v>
      </c>
      <c r="B20" s="2" t="s">
        <v>21</v>
      </c>
      <c r="C20" s="2" t="s">
        <v>32</v>
      </c>
      <c r="D20" s="10">
        <v>0.1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Invest</vt:lpstr>
      <vt:lpstr>Inf.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Celia Andrade</dc:creator>
  <cp:lastModifiedBy>Celia Andrade</cp:lastModifiedBy>
  <dcterms:created xsi:type="dcterms:W3CDTF">2026-10-21T02:52:37Z</dcterms:created>
  <dcterms:modified xsi:type="dcterms:W3CDTF">2026-10-22T02:33:02Z</dcterms:modified>
</cp:coreProperties>
</file>